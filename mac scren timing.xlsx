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<sst xmlns="http://schemas.openxmlformats.org/spreadsheetml/2006/main" count="57" uniqueCount="47">
  <si>
    <t>Pixel clock</t>
  </si>
  <si>
    <t>mhz</t>
  </si>
  <si>
    <t>duration of pixel clock</t>
  </si>
  <si>
    <t>H_TOTAL</t>
  </si>
  <si>
    <t>us</t>
  </si>
  <si>
    <t>parameter H_TOTAL         = 704;</t>
  </si>
  <si>
    <t xml:space="preserve">H_SYNC_PULSE    </t>
  </si>
  <si>
    <t>parameter H_SYNC_PULSE    = 110;</t>
  </si>
  <si>
    <t>ms</t>
  </si>
  <si>
    <t>H_BACK_PORCH</t>
  </si>
  <si>
    <t>parameter H_BACK_PORCH    = 68;</t>
  </si>
  <si>
    <t>H_ACTIVE</t>
  </si>
  <si>
    <t>parameter H_ACTIVE        = 512;</t>
  </si>
  <si>
    <t>ns</t>
  </si>
  <si>
    <t>H_FRONT_PORCH</t>
  </si>
  <si>
    <t>parameter H_FRONT_PORCH   = 14;</t>
  </si>
  <si>
    <t>H_SYNC_END</t>
  </si>
  <si>
    <t>parameter H_SYNC_END      = H_SYNC_PULSE;</t>
  </si>
  <si>
    <t>H_ACTIVE_START</t>
  </si>
  <si>
    <t>parameter H_ACTIVE_START  = H_SYNC_PULSE + H_BACK_PORCH;</t>
  </si>
  <si>
    <t>H_ACTIVE_END</t>
  </si>
  <si>
    <t>parameter H_ACTIVE_END    = H_ACTIVE_START + H_ACTIVE - 1;</t>
  </si>
  <si>
    <t>V_TOTAL</t>
  </si>
  <si>
    <t>parameter V_TOTAL           = 370;</t>
  </si>
  <si>
    <t>V_SYNC_PULSE_LINES</t>
  </si>
  <si>
    <t>parameter V_SYNC_PULSE_LINES= 4;</t>
  </si>
  <si>
    <t>V_BLANK_LINES</t>
  </si>
  <si>
    <t>parameter V_BLANK_LINES     = 28;</t>
  </si>
  <si>
    <t>V_ACTIVE_LINES</t>
  </si>
  <si>
    <t>parameter V_ACTIVE_LINES    = 342;</t>
  </si>
  <si>
    <t>Start</t>
  </si>
  <si>
    <t>plus</t>
  </si>
  <si>
    <t>end</t>
  </si>
  <si>
    <t>V_SYNC_LINE_END</t>
  </si>
  <si>
    <t>parameter V_SYNC_END_LINE   = V_SYNC_PULSE_LINES - 1;</t>
  </si>
  <si>
    <t>H_Active</t>
  </si>
  <si>
    <t>V_ACTIVE_START_LINE</t>
  </si>
  <si>
    <t>parameter V_ACTIVE_START_LINE = V_BLANK_LINES;</t>
  </si>
  <si>
    <t>H_SYNC</t>
  </si>
  <si>
    <t>V_ACTIVE_END_LINE</t>
  </si>
  <si>
    <t>parameter V_ACTIVE_END_LINE = V_ACTIVE_START_LINE + V_ACTIVE_LINES - 1;</t>
  </si>
  <si>
    <t>h_front_porch</t>
  </si>
  <si>
    <t>h_sync_pulse</t>
  </si>
  <si>
    <t>h_back_porch</t>
  </si>
  <si>
    <t>X</t>
  </si>
  <si>
    <t>Y</t>
  </si>
  <si>
    <t>Total pixels for memory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</si>
</sst>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88"/>
    <col customWidth="1" min="4" max="4" width="2.75"/>
  </cols>
  <sheetData>
    <row r="1">
      <c r="A1" s="1" t="s">
        <v>0</v>
      </c>
      <c r="B1" s="2">
        <v>1.527E7</v>
      </c>
      <c r="C1" s="1" t="s">
        <v>1</v>
      </c>
      <c r="J1" s="1" t="s">
        <v>2</v>
      </c>
    </row>
    <row r="2">
      <c r="A2" s="1" t="s">
        <v>3</v>
      </c>
      <c r="B2" s="1">
        <v>704.0</v>
      </c>
      <c r="C2" s="3">
        <f t="shared" ref="C2:C3" si="1">B2*$J$4</f>
        <v>46.10347086</v>
      </c>
      <c r="D2" s="1" t="s">
        <v>4</v>
      </c>
      <c r="E2" s="1" t="s">
        <v>5</v>
      </c>
      <c r="J2" s="3">
        <f>1/B1</f>
        <v>0.00000006548788474</v>
      </c>
    </row>
    <row r="3">
      <c r="A3" s="1" t="s">
        <v>6</v>
      </c>
      <c r="B3" s="1">
        <v>110.0</v>
      </c>
      <c r="C3" s="3">
        <f t="shared" si="1"/>
        <v>7.203667322</v>
      </c>
      <c r="E3" s="1" t="s">
        <v>7</v>
      </c>
      <c r="J3" s="3">
        <f t="shared" ref="J3:J5" si="2">J2*1000</f>
        <v>0.00006548788474</v>
      </c>
      <c r="K3" s="1" t="s">
        <v>8</v>
      </c>
    </row>
    <row r="4">
      <c r="A4" s="1" t="s">
        <v>9</v>
      </c>
      <c r="B4" s="1">
        <v>68.0</v>
      </c>
      <c r="E4" s="1" t="s">
        <v>10</v>
      </c>
      <c r="J4" s="3">
        <f t="shared" si="2"/>
        <v>0.06548788474</v>
      </c>
      <c r="K4" s="1" t="s">
        <v>4</v>
      </c>
    </row>
    <row r="5">
      <c r="A5" s="1" t="s">
        <v>11</v>
      </c>
      <c r="B5" s="1">
        <v>512.0</v>
      </c>
      <c r="C5" s="3">
        <f t="shared" ref="C5:C6" si="3">B5*$J$4</f>
        <v>33.52979699</v>
      </c>
      <c r="D5" s="1" t="s">
        <v>4</v>
      </c>
      <c r="E5" s="1" t="s">
        <v>12</v>
      </c>
      <c r="J5" s="3">
        <f t="shared" si="2"/>
        <v>65.48788474</v>
      </c>
      <c r="K5" s="1" t="s">
        <v>13</v>
      </c>
    </row>
    <row r="6">
      <c r="A6" s="1" t="s">
        <v>14</v>
      </c>
      <c r="B6" s="1">
        <v>14.0</v>
      </c>
      <c r="C6" s="3">
        <f t="shared" si="3"/>
        <v>0.9168303864</v>
      </c>
      <c r="E6" s="1" t="s">
        <v>15</v>
      </c>
    </row>
    <row r="8">
      <c r="A8" s="1" t="s">
        <v>16</v>
      </c>
      <c r="B8" s="1">
        <f>B3</f>
        <v>110</v>
      </c>
      <c r="C8" s="3">
        <f t="shared" ref="C8:C10" si="4">B8*$J$4</f>
        <v>7.203667322</v>
      </c>
      <c r="D8" s="1" t="s">
        <v>4</v>
      </c>
      <c r="E8" s="1" t="s">
        <v>17</v>
      </c>
    </row>
    <row r="9">
      <c r="A9" s="1" t="s">
        <v>18</v>
      </c>
      <c r="B9" s="3">
        <f>B3+B4+B6</f>
        <v>192</v>
      </c>
      <c r="C9" s="3">
        <f t="shared" si="4"/>
        <v>12.57367387</v>
      </c>
      <c r="D9" s="1" t="s">
        <v>4</v>
      </c>
      <c r="E9" s="1" t="s">
        <v>19</v>
      </c>
      <c r="L9" s="3">
        <f>M18+N18</f>
        <v>288</v>
      </c>
      <c r="M9" s="3">
        <f>L9*J4</f>
        <v>18.86051081</v>
      </c>
    </row>
    <row r="10">
      <c r="A10" s="1" t="s">
        <v>20</v>
      </c>
      <c r="B10" s="3">
        <f>B9+B5-1</f>
        <v>703</v>
      </c>
      <c r="C10" s="3">
        <f t="shared" si="4"/>
        <v>46.03798297</v>
      </c>
      <c r="D10" s="1" t="s">
        <v>4</v>
      </c>
      <c r="E10" s="1" t="s">
        <v>21</v>
      </c>
    </row>
    <row r="12">
      <c r="A12" s="1" t="s">
        <v>22</v>
      </c>
      <c r="B12" s="1">
        <v>370.0</v>
      </c>
      <c r="C12" s="3">
        <f t="shared" ref="C12:C15" si="5">B12*$C$2</f>
        <v>17058.28422</v>
      </c>
      <c r="D12" s="1" t="s">
        <v>4</v>
      </c>
      <c r="E12" s="1" t="s">
        <v>23</v>
      </c>
      <c r="K12" s="3">
        <f>178+110</f>
        <v>288</v>
      </c>
    </row>
    <row r="13">
      <c r="A13" s="1" t="s">
        <v>24</v>
      </c>
      <c r="B13" s="1">
        <v>4.0</v>
      </c>
      <c r="C13" s="3">
        <f t="shared" si="5"/>
        <v>184.4138834</v>
      </c>
      <c r="D13" s="1" t="s">
        <v>4</v>
      </c>
      <c r="E13" s="1" t="s">
        <v>25</v>
      </c>
    </row>
    <row r="14">
      <c r="A14" s="1" t="s">
        <v>26</v>
      </c>
      <c r="B14" s="1">
        <v>28.0</v>
      </c>
      <c r="C14" s="3">
        <f t="shared" si="5"/>
        <v>1290.897184</v>
      </c>
      <c r="D14" s="1" t="s">
        <v>4</v>
      </c>
      <c r="E14" s="1" t="s">
        <v>27</v>
      </c>
    </row>
    <row r="15">
      <c r="A15" s="1" t="s">
        <v>28</v>
      </c>
      <c r="B15" s="1">
        <v>342.0</v>
      </c>
      <c r="C15" s="3">
        <f t="shared" si="5"/>
        <v>15767.38703</v>
      </c>
      <c r="D15" s="1" t="s">
        <v>4</v>
      </c>
      <c r="E15" s="1" t="s">
        <v>29</v>
      </c>
    </row>
    <row r="16">
      <c r="K16" s="1" t="s">
        <v>30</v>
      </c>
      <c r="L16" s="1" t="s">
        <v>30</v>
      </c>
      <c r="M16" s="1" t="s">
        <v>31</v>
      </c>
      <c r="N16" s="1" t="s">
        <v>32</v>
      </c>
    </row>
    <row r="17">
      <c r="A17" s="1" t="s">
        <v>33</v>
      </c>
      <c r="B17" s="3">
        <f>B13-1</f>
        <v>3</v>
      </c>
      <c r="E17" s="1" t="s">
        <v>34</v>
      </c>
      <c r="K17" s="1" t="s">
        <v>35</v>
      </c>
      <c r="L17" s="1">
        <v>192.0</v>
      </c>
      <c r="M17" s="1">
        <v>512.0</v>
      </c>
      <c r="N17" s="3">
        <f>M17+L17</f>
        <v>704</v>
      </c>
    </row>
    <row r="18">
      <c r="A18" s="1" t="s">
        <v>36</v>
      </c>
      <c r="B18" s="3">
        <f>B14</f>
        <v>28</v>
      </c>
      <c r="C18" s="3">
        <f t="shared" ref="C18:C19" si="6">B18*$C$2</f>
        <v>1290.897184</v>
      </c>
      <c r="E18" s="1" t="s">
        <v>37</v>
      </c>
      <c r="K18" s="1" t="s">
        <v>38</v>
      </c>
      <c r="L18" s="1">
        <v>14.0</v>
      </c>
      <c r="M18" s="1">
        <v>178.0</v>
      </c>
      <c r="N18" s="1">
        <v>110.0</v>
      </c>
      <c r="O18" s="3">
        <f>sum(L18:N18)</f>
        <v>302</v>
      </c>
    </row>
    <row r="19">
      <c r="A19" s="1" t="s">
        <v>39</v>
      </c>
      <c r="B19" s="3">
        <f>B18+B15-1</f>
        <v>369</v>
      </c>
      <c r="C19" s="3">
        <f t="shared" si="6"/>
        <v>17012.18075</v>
      </c>
      <c r="E19" s="1" t="s">
        <v>40</v>
      </c>
      <c r="L19" s="1" t="s">
        <v>41</v>
      </c>
      <c r="M19" s="1" t="s">
        <v>42</v>
      </c>
      <c r="N19" s="1" t="s">
        <v>43</v>
      </c>
    </row>
    <row r="23">
      <c r="A23" s="1" t="s">
        <v>44</v>
      </c>
      <c r="B23" s="1">
        <v>512.0</v>
      </c>
    </row>
    <row r="24">
      <c r="A24" s="1" t="s">
        <v>45</v>
      </c>
      <c r="B24" s="1">
        <v>342.0</v>
      </c>
    </row>
    <row r="25">
      <c r="A25" s="1" t="s">
        <v>46</v>
      </c>
      <c r="B25" s="3">
        <f>B24*B23</f>
        <v>175104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